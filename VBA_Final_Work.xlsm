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chartsheets/sheet1.xml" ContentType="application/vnd.openxmlformats-officedocument.spreadsheetml.chart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Nonika\Documents\Github_files\EXCEL-VBA\"/>
    </mc:Choice>
  </mc:AlternateContent>
  <workbookProtection workbookPassword="86B2" lockStructure="1"/>
  <bookViews>
    <workbookView showSheetTabs="0" xWindow="240" yWindow="60" windowWidth="20115" windowHeight="8010" activeTab="1"/>
  </bookViews>
  <sheets>
    <sheet name="JW" sheetId="7" r:id="rId1"/>
    <sheet name="Begin" sheetId="2" r:id="rId2"/>
    <sheet name="EL Chart" sheetId="6" r:id="rId3"/>
  </sheets>
  <calcPr calcId="152511"/>
</workbook>
</file>

<file path=xl/calcChain.xml><?xml version="1.0" encoding="utf-8"?>
<calcChain xmlns="http://schemas.openxmlformats.org/spreadsheetml/2006/main">
  <c r="D3" i="2" l="1"/>
  <c r="D4" i="2"/>
  <c r="D5" i="2"/>
  <c r="D6" i="2"/>
  <c r="D7" i="2"/>
  <c r="D8" i="2"/>
  <c r="D9" i="2"/>
  <c r="D10" i="2"/>
  <c r="D11" i="2"/>
  <c r="D2" i="2"/>
  <c r="B3" i="2"/>
  <c r="B4" i="2"/>
  <c r="B5" i="2"/>
  <c r="B6" i="2"/>
  <c r="B7" i="2"/>
  <c r="B8" i="2"/>
  <c r="B9" i="2"/>
  <c r="B10" i="2"/>
  <c r="B11" i="2"/>
  <c r="B2" i="2"/>
  <c r="C2" i="2" s="1"/>
  <c r="E2" i="2" s="1"/>
  <c r="F2" i="2" s="1"/>
  <c r="A4" i="2"/>
  <c r="A5" i="2" s="1"/>
  <c r="A6" i="2" s="1"/>
  <c r="A7" i="2" s="1"/>
  <c r="A8" i="2" s="1"/>
  <c r="A9" i="2" s="1"/>
  <c r="A10" i="2" s="1"/>
  <c r="A11" i="2" s="1"/>
  <c r="A3" i="2"/>
  <c r="G2" i="2" l="1"/>
  <c r="H2" i="2" s="1"/>
  <c r="C3" i="2"/>
  <c r="G3" i="2" s="1"/>
  <c r="C4" i="2" l="1"/>
  <c r="G4" i="2" s="1"/>
  <c r="E3" i="2"/>
  <c r="F3" i="2" s="1"/>
  <c r="H3" i="2" s="1"/>
  <c r="C5" i="2" l="1"/>
  <c r="G5" i="2" s="1"/>
  <c r="E4" i="2"/>
  <c r="F4" i="2" s="1"/>
  <c r="H4" i="2" s="1"/>
  <c r="C6" i="2" l="1"/>
  <c r="G6" i="2" s="1"/>
  <c r="E5" i="2"/>
  <c r="F5" i="2" s="1"/>
  <c r="H5" i="2" s="1"/>
  <c r="C7" i="2" l="1"/>
  <c r="G7" i="2" s="1"/>
  <c r="E6" i="2"/>
  <c r="F6" i="2" s="1"/>
  <c r="H6" i="2" s="1"/>
  <c r="C8" i="2" l="1"/>
  <c r="G8" i="2" s="1"/>
  <c r="E7" i="2"/>
  <c r="F7" i="2" s="1"/>
  <c r="H7" i="2" s="1"/>
  <c r="C9" i="2" l="1"/>
  <c r="G9" i="2" s="1"/>
  <c r="E8" i="2"/>
  <c r="F8" i="2" s="1"/>
  <c r="H8" i="2" s="1"/>
  <c r="C10" i="2" l="1"/>
  <c r="G10" i="2" s="1"/>
  <c r="E9" i="2"/>
  <c r="F9" i="2" s="1"/>
  <c r="H9" i="2" s="1"/>
  <c r="C11" i="2" l="1"/>
  <c r="E10" i="2"/>
  <c r="F10" i="2" s="1"/>
  <c r="H10" i="2" s="1"/>
  <c r="E11" i="2" l="1"/>
  <c r="F11" i="2" s="1"/>
  <c r="G11" i="2"/>
  <c r="H11" i="2" l="1"/>
  <c r="N7" i="2" s="1"/>
  <c r="N4" i="2" l="1"/>
  <c r="O4" i="2" s="1"/>
  <c r="N5" i="2"/>
  <c r="O5" i="2" s="1"/>
  <c r="N3" i="2"/>
  <c r="O3" i="2" s="1"/>
  <c r="N8" i="2" s="1"/>
</calcChain>
</file>

<file path=xl/sharedStrings.xml><?xml version="1.0" encoding="utf-8"?>
<sst xmlns="http://schemas.openxmlformats.org/spreadsheetml/2006/main" count="20" uniqueCount="20">
  <si>
    <t>Phi</t>
  </si>
  <si>
    <t>PD</t>
  </si>
  <si>
    <t>Beta</t>
  </si>
  <si>
    <t>PE</t>
  </si>
  <si>
    <t>0,75</t>
  </si>
  <si>
    <t>0,5</t>
  </si>
  <si>
    <t>0,1</t>
  </si>
  <si>
    <t>0,8</t>
  </si>
  <si>
    <t>Simulations</t>
  </si>
  <si>
    <t>e</t>
  </si>
  <si>
    <t>x</t>
  </si>
  <si>
    <t>c</t>
  </si>
  <si>
    <t>c-b*x/sqrt(1-b^2)</t>
  </si>
  <si>
    <t>Prob. Mora</t>
  </si>
  <si>
    <t>LGD</t>
  </si>
  <si>
    <t>EL</t>
  </si>
  <si>
    <t>Percentile</t>
  </si>
  <si>
    <t>ES</t>
  </si>
  <si>
    <t>Media History</t>
  </si>
  <si>
    <t>Captial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</si>
</sst>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_(&quot;$&quot;* #,##0.00_);_(&quot;$&quot;* \(#,##0.00\);_(&quot;$&quot;* &quot;-&quot;??_);_(@_)"/>
    <numFmt numFmtId="165" formatCode="_([$€-2]\ * #,##0.00_);_([$€-2]\ * \(#,##0.00\);_([$€-2]\ * &quot;-&quot;??_);_(@_)"/>
  </numFmts>
  <fonts count="7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color theme="1"/>
      <name val="Arial"/>
      <family val="2"/>
    </font>
    <font>
      <sz val="8"/>
      <name val="Tahoma"/>
      <family val="2"/>
    </font>
    <font>
      <sz val="11"/>
      <color rgb="FF000000"/>
      <name val="Calibri"/>
      <family val="2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3">
    <xf numFmtId="0" fontId="0" fillId="0" borderId="0"/>
    <xf numFmtId="0" fontId="2" fillId="0" borderId="0"/>
    <xf numFmtId="164" fontId="3" fillId="0" borderId="0" applyFont="0" applyFill="0" applyBorder="0" applyAlignment="0" applyProtection="0"/>
  </cellStyleXfs>
  <cellXfs count="6">
    <xf numFmtId="0" fontId="0" fillId="0" borderId="0" xfId="0"/>
    <xf numFmtId="9" fontId="0" fillId="0" borderId="0" xfId="0" applyNumberFormat="1"/>
    <xf numFmtId="10" fontId="0" fillId="0" borderId="0" xfId="0" applyNumberFormat="1"/>
    <xf numFmtId="0" fontId="6" fillId="0" borderId="0" xfId="0" applyFont="1" applyAlignment="1">
      <alignment horizontal="center"/>
    </xf>
    <xf numFmtId="0" fontId="6" fillId="0" borderId="0" xfId="0" applyFont="1"/>
    <xf numFmtId="165" fontId="6" fillId="0" borderId="0" xfId="0" applyNumberFormat="1" applyFont="1"/>
  </cellXfs>
  <cellStyles count="3">
    <cellStyle name="Currency 2" xfId="2"/>
    <cellStyle name="Normal" xfId="0" builtinId="0"/>
    <cellStyle name="Normal 2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chartsheet" Target="chartsheets/sheet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1.5020149693321581E-2"/>
          <c:y val="2.1322932608262322E-2"/>
          <c:w val="0.98497985030667845"/>
          <c:h val="0.96857352538492114"/>
        </c:manualLayout>
      </c:layout>
      <c:areaChart>
        <c:grouping val="standard"/>
        <c:varyColors val="0"/>
        <c:ser>
          <c:idx val="0"/>
          <c:order val="0"/>
          <c:tx>
            <c:strRef>
              <c:f>Begin!$H$1</c:f>
              <c:strCache>
                <c:ptCount val="1"/>
                <c:pt idx="0">
                  <c:v>EL</c:v>
                </c:pt>
              </c:strCache>
            </c:strRef>
          </c:tx>
          <c:val>
            <c:numRef>
              <c:f>Begin!$H$2:$H$11</c:f>
              <c:numCache>
                <c:formatCode>General</c:formatCode>
                <c:ptCount val="10"/>
                <c:pt idx="0">
                  <c:v>0.25939152906189533</c:v>
                </c:pt>
                <c:pt idx="1">
                  <c:v>8.34738589978513E-2</c:v>
                </c:pt>
                <c:pt idx="2">
                  <c:v>0.2104770088533735</c:v>
                </c:pt>
                <c:pt idx="3">
                  <c:v>8.6572783275190412E-2</c:v>
                </c:pt>
                <c:pt idx="4">
                  <c:v>9.9993272562482013E-2</c:v>
                </c:pt>
                <c:pt idx="5">
                  <c:v>0.29655132459442513</c:v>
                </c:pt>
                <c:pt idx="6">
                  <c:v>5.9509193324101511E-2</c:v>
                </c:pt>
                <c:pt idx="7">
                  <c:v>7.0083488597287469E-2</c:v>
                </c:pt>
                <c:pt idx="8">
                  <c:v>3.9149947604471672E-2</c:v>
                </c:pt>
                <c:pt idx="9">
                  <c:v>0.26516371048830084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612513680"/>
        <c:axId val="-1612513136"/>
      </c:areaChart>
      <c:catAx>
        <c:axId val="-1612513680"/>
        <c:scaling>
          <c:orientation val="minMax"/>
        </c:scaling>
        <c:delete val="0"/>
        <c:axPos val="b"/>
        <c:majorTickMark val="out"/>
        <c:minorTickMark val="none"/>
        <c:tickLblPos val="nextTo"/>
        <c:crossAx val="-1612513136"/>
        <c:crosses val="autoZero"/>
        <c:auto val="1"/>
        <c:lblAlgn val="ctr"/>
        <c:lblOffset val="100"/>
        <c:noMultiLvlLbl val="0"/>
      </c:catAx>
      <c:valAx>
        <c:axId val="-161251313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-1612513680"/>
        <c:crosses val="autoZero"/>
        <c:crossBetween val="midCat"/>
      </c:valAx>
    </c:plotArea>
    <c:plotVisOnly val="1"/>
    <c:dispBlanksAs val="zero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Expected</a:t>
            </a:r>
            <a:r>
              <a:rPr lang="en-US" baseline="0"/>
              <a:t> Loss</a:t>
            </a:r>
            <a:endParaRPr lang="en-US"/>
          </a:p>
        </c:rich>
      </c:tx>
      <c:layout/>
      <c:overlay val="0"/>
    </c:title>
    <c:autoTitleDeleted val="0"/>
    <c:plotArea>
      <c:layout/>
      <c:areaChart>
        <c:grouping val="standard"/>
        <c:varyColors val="0"/>
        <c:ser>
          <c:idx val="0"/>
          <c:order val="0"/>
          <c:tx>
            <c:strRef>
              <c:f>Begin!$H$1</c:f>
              <c:strCache>
                <c:ptCount val="1"/>
                <c:pt idx="0">
                  <c:v>EL</c:v>
                </c:pt>
              </c:strCache>
            </c:strRef>
          </c:tx>
          <c:val>
            <c:numRef>
              <c:f>Begin!$H$2:$H$11</c:f>
              <c:numCache>
                <c:formatCode>General</c:formatCode>
                <c:ptCount val="10"/>
                <c:pt idx="0">
                  <c:v>0.25939152906189533</c:v>
                </c:pt>
                <c:pt idx="1">
                  <c:v>8.34738589978513E-2</c:v>
                </c:pt>
                <c:pt idx="2">
                  <c:v>0.2104770088533735</c:v>
                </c:pt>
                <c:pt idx="3">
                  <c:v>8.6572783275190412E-2</c:v>
                </c:pt>
                <c:pt idx="4">
                  <c:v>9.9993272562482013E-2</c:v>
                </c:pt>
                <c:pt idx="5">
                  <c:v>0.29655132459442513</c:v>
                </c:pt>
                <c:pt idx="6">
                  <c:v>5.9509193324101511E-2</c:v>
                </c:pt>
                <c:pt idx="7">
                  <c:v>7.0083488597287469E-2</c:v>
                </c:pt>
                <c:pt idx="8">
                  <c:v>3.9149947604471672E-2</c:v>
                </c:pt>
                <c:pt idx="9">
                  <c:v>0.26516371048830084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612510416"/>
        <c:axId val="-1612522928"/>
      </c:areaChart>
      <c:catAx>
        <c:axId val="-1612510416"/>
        <c:scaling>
          <c:orientation val="minMax"/>
        </c:scaling>
        <c:delete val="0"/>
        <c:axPos val="b"/>
        <c:majorGridlines/>
        <c:minorGridlines/>
        <c:majorTickMark val="none"/>
        <c:minorTickMark val="none"/>
        <c:tickLblPos val="nextTo"/>
        <c:crossAx val="-1612522928"/>
        <c:crosses val="autoZero"/>
        <c:auto val="1"/>
        <c:lblAlgn val="ctr"/>
        <c:lblOffset val="100"/>
        <c:noMultiLvlLbl val="0"/>
      </c:catAx>
      <c:valAx>
        <c:axId val="-1612522928"/>
        <c:scaling>
          <c:orientation val="minMax"/>
        </c:scaling>
        <c:delete val="0"/>
        <c:axPos val="l"/>
        <c:majorGridlines/>
        <c:minorGridlines/>
        <c:numFmt formatCode="General" sourceLinked="1"/>
        <c:majorTickMark val="none"/>
        <c:minorTickMark val="none"/>
        <c:tickLblPos val="nextTo"/>
        <c:crossAx val="-1612510416"/>
        <c:crosses val="autoZero"/>
        <c:crossBetween val="midCat"/>
      </c:valAx>
    </c:plotArea>
    <c:plotVisOnly val="1"/>
    <c:dispBlanksAs val="gap"/>
    <c:showDLblsOverMax val="0"/>
  </c:chart>
</c:chartSpace>
</file>

<file path=xl/chart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chartsheets/sheet1.xml><?xml version="1.0" encoding="utf-8"?>
<chart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>
  <sheetPr codeName="Chart1"/>
  <sheetViews>
    <sheetView zoomScale="73" workbookViewId="0" zoomToFit="1"/>
  </sheetViews>
  <pageMargins left="0.7" right="0.7" top="0.75" bottom="0.75" header="0.3" footer="0.3"/>
  <pageSetup orientation="landscape" horizontalDpi="300" verticalDpi="1200" r:id="rId1"/>
  <drawing r:id="rId2"/>
  <legacyDrawing r:id="rId3"/>
</chartsheet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19</xdr:col>
      <xdr:colOff>119062</xdr:colOff>
      <xdr:row>13</xdr:row>
      <xdr:rowOff>147637</xdr:rowOff>
    </xdr:from>
    <xdr:to>
      <xdr:col>26</xdr:col>
      <xdr:colOff>529238</xdr:colOff>
      <xdr:row>25</xdr:row>
      <xdr:rowOff>37580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57150</xdr:colOff>
          <xdr:row>5</xdr:row>
          <xdr:rowOff>133350</xdr:rowOff>
        </xdr:from>
        <xdr:to>
          <xdr:col>10</xdr:col>
          <xdr:colOff>1200150</xdr:colOff>
          <xdr:row>7</xdr:row>
          <xdr:rowOff>133350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Show EL Chart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257175</xdr:colOff>
          <xdr:row>8</xdr:row>
          <xdr:rowOff>152400</xdr:rowOff>
        </xdr:from>
        <xdr:to>
          <xdr:col>13</xdr:col>
          <xdr:colOff>400050</xdr:colOff>
          <xdr:row>10</xdr:row>
          <xdr:rowOff>123825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Refresh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66675</xdr:colOff>
          <xdr:row>8</xdr:row>
          <xdr:rowOff>133350</xdr:rowOff>
        </xdr:from>
        <xdr:to>
          <xdr:col>10</xdr:col>
          <xdr:colOff>1209675</xdr:colOff>
          <xdr:row>10</xdr:row>
          <xdr:rowOff>123825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Enter New Values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8</xdr:row>
          <xdr:rowOff>152400</xdr:rowOff>
        </xdr:from>
        <xdr:to>
          <xdr:col>15</xdr:col>
          <xdr:colOff>447675</xdr:colOff>
          <xdr:row>10</xdr:row>
          <xdr:rowOff>133350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Close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absoluteAnchor>
    <xdr:pos x="0" y="0"/>
    <xdr:ext cx="8663836" cy="6289110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11"/>
  <sheetViews>
    <sheetView topLeftCell="A1048576" workbookViewId="0">
      <selection activeCell="K5" sqref="K5"/>
    </sheetView>
  </sheetViews>
  <sheetFormatPr defaultRowHeight="15" zeroHeight="1" x14ac:dyDescent="0.25"/>
  <cols>
    <col min="1" max="1" width="11.140625" customWidth="1"/>
    <col min="2" max="2" width="11.42578125" customWidth="1"/>
    <col min="3" max="3" width="12.140625" customWidth="1"/>
    <col min="4" max="4" width="11.85546875" customWidth="1"/>
    <col min="5" max="5" width="17.140625" customWidth="1"/>
    <col min="6" max="6" width="12.7109375" customWidth="1"/>
    <col min="11" max="11" width="13.140625" bestFit="1" customWidth="1"/>
  </cols>
  <sheetData>
    <row r="1" hidden="1" x14ac:dyDescent="0.25"/>
    <row r="2" hidden="1" x14ac:dyDescent="0.25"/>
    <row r="3" hidden="1" x14ac:dyDescent="0.25"/>
    <row r="4" hidden="1" x14ac:dyDescent="0.25"/>
    <row r="5" hidden="1" x14ac:dyDescent="0.25"/>
    <row r="6" hidden="1" x14ac:dyDescent="0.25"/>
    <row r="7" hidden="1" x14ac:dyDescent="0.25"/>
    <row r="8" hidden="1" x14ac:dyDescent="0.25"/>
    <row r="9" hidden="1" x14ac:dyDescent="0.25"/>
    <row r="10" hidden="1" x14ac:dyDescent="0.25"/>
    <row r="11" hidden="1" x14ac:dyDescent="0.25"/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P12"/>
  <sheetViews>
    <sheetView tabSelected="1" workbookViewId="0">
      <selection activeCell="K5" sqref="K5"/>
    </sheetView>
  </sheetViews>
  <sheetFormatPr defaultColWidth="0" defaultRowHeight="15" zeroHeight="1" x14ac:dyDescent="0.25"/>
  <cols>
    <col min="1" max="1" width="11.140625" customWidth="1"/>
    <col min="2" max="2" width="11.42578125" customWidth="1"/>
    <col min="3" max="3" width="12.140625" customWidth="1"/>
    <col min="4" max="4" width="11.85546875" customWidth="1"/>
    <col min="5" max="5" width="17.140625" customWidth="1"/>
    <col min="6" max="6" width="12.7109375" customWidth="1"/>
    <col min="7" max="7" width="8.140625" customWidth="1"/>
    <col min="8" max="9" width="9.140625" customWidth="1"/>
    <col min="10" max="10" width="6.28515625" customWidth="1"/>
    <col min="11" max="11" width="18.7109375" customWidth="1"/>
    <col min="12" max="12" width="6.85546875" customWidth="1"/>
    <col min="13" max="13" width="14" bestFit="1" customWidth="1"/>
    <col min="14" max="16" width="9.140625" customWidth="1"/>
    <col min="17" max="16384" width="9.140625" hidden="1"/>
  </cols>
  <sheetData>
    <row r="1" spans="1:15" x14ac:dyDescent="0.25">
      <c r="A1" s="3" t="s">
        <v>8</v>
      </c>
      <c r="B1" s="3" t="s">
        <v>9</v>
      </c>
      <c r="C1" s="3" t="s">
        <v>10</v>
      </c>
      <c r="D1" s="3" t="s">
        <v>11</v>
      </c>
      <c r="E1" s="3" t="s">
        <v>12</v>
      </c>
      <c r="F1" s="3" t="s">
        <v>13</v>
      </c>
      <c r="G1" s="3" t="s">
        <v>14</v>
      </c>
      <c r="H1" s="3" t="s">
        <v>15</v>
      </c>
    </row>
    <row r="2" spans="1:15" x14ac:dyDescent="0.25">
      <c r="A2">
        <v>1</v>
      </c>
      <c r="B2">
        <f ca="1">NORMSINV(RAND())</f>
        <v>-0.16521636788610969</v>
      </c>
      <c r="C2">
        <f ca="1">B2</f>
        <v>-0.16521636788610969</v>
      </c>
      <c r="D2">
        <f>_xlfn.NORM.INV($K$3,0,1)</f>
        <v>0</v>
      </c>
      <c r="E2">
        <f ca="1">(D2-$K$4*C2/SQRT(1-$K$4^2))</f>
        <v>1.6604869742531794E-2</v>
      </c>
      <c r="F2">
        <f ca="1">NORMDIST(E2,0,1,TRUE)</f>
        <v>0.50662408019901428</v>
      </c>
      <c r="G2">
        <f ca="1">IF(C2&lt;0,RANDBETWEEN(50,70)/100,RANDBETWEEN(10,30)/100)</f>
        <v>0.64</v>
      </c>
      <c r="H2">
        <f ca="1">F2*G2*$K$5</f>
        <v>0.25939152906189533</v>
      </c>
      <c r="J2" s="4" t="s">
        <v>0</v>
      </c>
      <c r="K2" t="s">
        <v>4</v>
      </c>
      <c r="M2" s="4" t="s">
        <v>16</v>
      </c>
      <c r="N2" s="4"/>
      <c r="O2" s="4" t="s">
        <v>17</v>
      </c>
    </row>
    <row r="3" spans="1:15" x14ac:dyDescent="0.25">
      <c r="A3">
        <f>A2+1</f>
        <v>2</v>
      </c>
      <c r="B3">
        <f t="shared" ref="B3:B11" ca="1" si="0">NORMSINV(RAND())</f>
        <v>0.64183597131700176</v>
      </c>
      <c r="C3">
        <f ca="1">$B$13*C2+B3</f>
        <v>0.64183597131700176</v>
      </c>
      <c r="D3">
        <f t="shared" ref="D3:D11" si="1">_xlfn.NORM.INV($K$3,0,1)</f>
        <v>0</v>
      </c>
      <c r="E3">
        <f t="shared" ref="E3:E11" ca="1" si="2">(D3-$K$4*C3/SQRT(1-$K$4^2))</f>
        <v>-6.4506942236721376E-2</v>
      </c>
      <c r="F3">
        <f t="shared" ref="F3:F11" ca="1" si="3">NORMDIST(E3,0,1,TRUE)</f>
        <v>0.4742832897605187</v>
      </c>
      <c r="G3">
        <f t="shared" ref="G3:G11" ca="1" si="4">IF(C3&lt;0,RANDBETWEEN(50,70)/100,RANDBETWEEN(10,30)/100)</f>
        <v>0.22</v>
      </c>
      <c r="H3">
        <f t="shared" ref="H3:H11" ca="1" si="5">F3*G3*$K$5</f>
        <v>8.34738589978513E-2</v>
      </c>
      <c r="J3" s="4" t="s">
        <v>1</v>
      </c>
      <c r="K3" t="s">
        <v>5</v>
      </c>
      <c r="M3" s="1">
        <v>0.99</v>
      </c>
      <c r="N3">
        <f ca="1">PERCENTILE($H$2:$H$11,0.99)</f>
        <v>0.29372643932487397</v>
      </c>
      <c r="O3">
        <f ca="1">AVERAGEIF($H$2:$H$11,"&gt;"&amp;N3)</f>
        <v>0.29655132459442513</v>
      </c>
    </row>
    <row r="4" spans="1:15" x14ac:dyDescent="0.25">
      <c r="A4">
        <f t="shared" ref="A4:A11" si="6">A3+1</f>
        <v>3</v>
      </c>
      <c r="B4">
        <f t="shared" ca="1" si="0"/>
        <v>-0.39603769349447099</v>
      </c>
      <c r="C4">
        <f t="shared" ref="C4:C11" ca="1" si="7">$B$13*C3+B4</f>
        <v>-0.39603769349447099</v>
      </c>
      <c r="D4">
        <f t="shared" si="1"/>
        <v>0</v>
      </c>
      <c r="E4">
        <f t="shared" ca="1" si="2"/>
        <v>3.9803285822998059E-2</v>
      </c>
      <c r="F4">
        <f t="shared" ca="1" si="3"/>
        <v>0.51587502169944477</v>
      </c>
      <c r="G4">
        <f t="shared" ca="1" si="4"/>
        <v>0.51</v>
      </c>
      <c r="H4">
        <f t="shared" ca="1" si="5"/>
        <v>0.2104770088533735</v>
      </c>
      <c r="J4" s="4" t="s">
        <v>2</v>
      </c>
      <c r="K4" t="s">
        <v>6</v>
      </c>
      <c r="M4" s="2">
        <v>0.995</v>
      </c>
      <c r="N4">
        <f ca="1">PERCENTILE($H$2:$H$11,0.995)</f>
        <v>0.29513888195964955</v>
      </c>
      <c r="O4">
        <f t="shared" ref="O4:O5" ca="1" si="8">AVERAGEIF($H$2:$H$11,"&gt;"&amp;N4)</f>
        <v>0.29655132459442513</v>
      </c>
    </row>
    <row r="5" spans="1:15" x14ac:dyDescent="0.25">
      <c r="A5">
        <f t="shared" si="6"/>
        <v>4</v>
      </c>
      <c r="B5">
        <f t="shared" ca="1" si="0"/>
        <v>0.73631410441644007</v>
      </c>
      <c r="C5">
        <f t="shared" ca="1" si="7"/>
        <v>0.73631410441644007</v>
      </c>
      <c r="D5">
        <f t="shared" si="1"/>
        <v>0</v>
      </c>
      <c r="E5">
        <f t="shared" ca="1" si="2"/>
        <v>-7.4002351884724232E-2</v>
      </c>
      <c r="F5">
        <f t="shared" ca="1" si="3"/>
        <v>0.47050425693038261</v>
      </c>
      <c r="G5">
        <f t="shared" ca="1" si="4"/>
        <v>0.23</v>
      </c>
      <c r="H5">
        <f t="shared" ca="1" si="5"/>
        <v>8.6572783275190412E-2</v>
      </c>
      <c r="J5" s="4" t="s">
        <v>3</v>
      </c>
      <c r="K5" s="5" t="s">
        <v>7</v>
      </c>
      <c r="M5" s="2">
        <v>0.999</v>
      </c>
      <c r="N5">
        <f ca="1">PERCENTILE($H$2:$H$11,0.999)</f>
        <v>0.29626883606747001</v>
      </c>
      <c r="O5">
        <f t="shared" ca="1" si="8"/>
        <v>0.29655132459442513</v>
      </c>
    </row>
    <row r="6" spans="1:15" x14ac:dyDescent="0.25">
      <c r="A6">
        <f t="shared" si="6"/>
        <v>5</v>
      </c>
      <c r="B6">
        <f t="shared" ca="1" si="0"/>
        <v>2.0944508539636235</v>
      </c>
      <c r="C6">
        <f t="shared" ca="1" si="7"/>
        <v>2.0944508539636235</v>
      </c>
      <c r="D6">
        <f t="shared" si="1"/>
        <v>0</v>
      </c>
      <c r="E6">
        <f t="shared" ca="1" si="2"/>
        <v>-0.21050023104353913</v>
      </c>
      <c r="F6">
        <f t="shared" ca="1" si="3"/>
        <v>0.41663863567700837</v>
      </c>
      <c r="G6">
        <f t="shared" ca="1" si="4"/>
        <v>0.3</v>
      </c>
      <c r="H6">
        <f t="shared" ca="1" si="5"/>
        <v>9.9993272562482013E-2</v>
      </c>
    </row>
    <row r="7" spans="1:15" x14ac:dyDescent="0.25">
      <c r="A7">
        <f t="shared" si="6"/>
        <v>6</v>
      </c>
      <c r="B7">
        <f t="shared" ca="1" si="0"/>
        <v>-1.3324950813743346</v>
      </c>
      <c r="C7">
        <f t="shared" ca="1" si="7"/>
        <v>-1.3324950813743346</v>
      </c>
      <c r="D7">
        <f t="shared" si="1"/>
        <v>0</v>
      </c>
      <c r="E7">
        <f t="shared" ca="1" si="2"/>
        <v>0.13392079454281072</v>
      </c>
      <c r="F7">
        <f t="shared" ca="1" si="3"/>
        <v>0.55326739663139013</v>
      </c>
      <c r="G7">
        <f t="shared" ca="1" si="4"/>
        <v>0.67</v>
      </c>
      <c r="H7">
        <f t="shared" ca="1" si="5"/>
        <v>0.29655132459442513</v>
      </c>
      <c r="M7" s="4" t="s">
        <v>18</v>
      </c>
      <c r="N7">
        <f ca="1">AVERAGE($H$2:$H$11)</f>
        <v>0.14703661173593791</v>
      </c>
    </row>
    <row r="8" spans="1:15" x14ac:dyDescent="0.25">
      <c r="A8">
        <f t="shared" si="6"/>
        <v>7</v>
      </c>
      <c r="B8">
        <f t="shared" ca="1" si="0"/>
        <v>0.10201037756091254</v>
      </c>
      <c r="C8">
        <f t="shared" ca="1" si="7"/>
        <v>0.10201037756091254</v>
      </c>
      <c r="D8">
        <f t="shared" si="1"/>
        <v>0</v>
      </c>
      <c r="E8">
        <f t="shared" ca="1" si="2"/>
        <v>-1.0252428699758689E-2</v>
      </c>
      <c r="F8">
        <f t="shared" ca="1" si="3"/>
        <v>0.49590994436751257</v>
      </c>
      <c r="G8">
        <f t="shared" ca="1" si="4"/>
        <v>0.15</v>
      </c>
      <c r="H8">
        <f t="shared" ca="1" si="5"/>
        <v>5.9509193324101511E-2</v>
      </c>
      <c r="M8" s="4" t="s">
        <v>19</v>
      </c>
      <c r="N8">
        <f ca="1">O3-N7</f>
        <v>0.14951471285848722</v>
      </c>
    </row>
    <row r="9" spans="1:15" x14ac:dyDescent="0.25">
      <c r="A9">
        <f t="shared" si="6"/>
        <v>8</v>
      </c>
      <c r="B9">
        <f t="shared" ca="1" si="0"/>
        <v>0.33199919389064064</v>
      </c>
      <c r="C9">
        <f t="shared" ca="1" si="7"/>
        <v>0.33199919389064064</v>
      </c>
      <c r="D9">
        <f t="shared" si="1"/>
        <v>0</v>
      </c>
      <c r="E9">
        <f t="shared" ca="1" si="2"/>
        <v>-3.3367174449566904E-2</v>
      </c>
      <c r="F9">
        <f t="shared" ca="1" si="3"/>
        <v>0.48669089303671853</v>
      </c>
      <c r="G9">
        <f t="shared" ca="1" si="4"/>
        <v>0.18</v>
      </c>
      <c r="H9">
        <f t="shared" ca="1" si="5"/>
        <v>7.0083488597287469E-2</v>
      </c>
    </row>
    <row r="10" spans="1:15" x14ac:dyDescent="0.25">
      <c r="A10">
        <f t="shared" si="6"/>
        <v>9</v>
      </c>
      <c r="B10">
        <f t="shared" ca="1" si="0"/>
        <v>0.26504193764102502</v>
      </c>
      <c r="C10">
        <f t="shared" ca="1" si="7"/>
        <v>0.26504193764102502</v>
      </c>
      <c r="D10">
        <f t="shared" si="1"/>
        <v>0</v>
      </c>
      <c r="E10">
        <f t="shared" ca="1" si="2"/>
        <v>-2.6637716995880412E-2</v>
      </c>
      <c r="F10">
        <f t="shared" ca="1" si="3"/>
        <v>0.48937434505589583</v>
      </c>
      <c r="G10">
        <f t="shared" ca="1" si="4"/>
        <v>0.1</v>
      </c>
      <c r="H10">
        <f t="shared" ca="1" si="5"/>
        <v>3.9149947604471672E-2</v>
      </c>
    </row>
    <row r="11" spans="1:15" x14ac:dyDescent="0.25">
      <c r="A11">
        <f t="shared" si="6"/>
        <v>10</v>
      </c>
      <c r="B11">
        <f t="shared" ca="1" si="0"/>
        <v>-0.86413724511729773</v>
      </c>
      <c r="C11">
        <f t="shared" ca="1" si="7"/>
        <v>-0.86413724511729773</v>
      </c>
      <c r="D11">
        <f t="shared" si="1"/>
        <v>0</v>
      </c>
      <c r="E11">
        <f t="shared" ca="1" si="2"/>
        <v>8.6849060891680319E-2</v>
      </c>
      <c r="F11">
        <f t="shared" ca="1" si="3"/>
        <v>0.53460425501673547</v>
      </c>
      <c r="G11">
        <f t="shared" ca="1" si="4"/>
        <v>0.62</v>
      </c>
      <c r="H11">
        <f t="shared" ca="1" si="5"/>
        <v>0.26516371048830084</v>
      </c>
    </row>
    <row r="12" spans="1:15" x14ac:dyDescent="0.25"/>
  </sheetData>
  <sheetProtection selectLockedCells="1" selectUnlockedCells="1"/>
  <pageMargins left="0.7" right="0.7" top="0.75" bottom="0.75" header="0.3" footer="0.3"/>
  <pageSetup orientation="landscape" horizontalDpi="3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" r:id="rId4" name="Button 4">
              <controlPr defaultSize="0" print="0" autoFill="0" autoPict="0" macro="[0]!Button3_Click">
                <anchor moveWithCells="1" sizeWithCells="1">
                  <from>
                    <xdr:col>9</xdr:col>
                    <xdr:colOff>57150</xdr:colOff>
                    <xdr:row>5</xdr:row>
                    <xdr:rowOff>133350</xdr:rowOff>
                  </from>
                  <to>
                    <xdr:col>10</xdr:col>
                    <xdr:colOff>1200150</xdr:colOff>
                    <xdr:row>7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5" name="Button 9">
              <controlPr defaultSize="0" print="0" autoFill="0" autoPict="0" macro="[0]!Button5_Click">
                <anchor moveWithCells="1" sizeWithCells="1">
                  <from>
                    <xdr:col>11</xdr:col>
                    <xdr:colOff>257175</xdr:colOff>
                    <xdr:row>8</xdr:row>
                    <xdr:rowOff>152400</xdr:rowOff>
                  </from>
                  <to>
                    <xdr:col>13</xdr:col>
                    <xdr:colOff>400050</xdr:colOff>
                    <xdr:row>10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6" name="Button 11">
              <controlPr defaultSize="0" print="0" autoFill="0" autoPict="0" macro="[0]!Button6_Click">
                <anchor moveWithCells="1" sizeWithCells="1">
                  <from>
                    <xdr:col>9</xdr:col>
                    <xdr:colOff>66675</xdr:colOff>
                    <xdr:row>8</xdr:row>
                    <xdr:rowOff>133350</xdr:rowOff>
                  </from>
                  <to>
                    <xdr:col>10</xdr:col>
                    <xdr:colOff>1209675</xdr:colOff>
                    <xdr:row>10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7" name="Button 13">
              <controlPr defaultSize="0" print="0" autoFill="0" autoPict="0" macro="[0]!Button7_Click">
                <anchor moveWithCells="1" sizeWithCells="1">
                  <from>
                    <xdr:col>14</xdr:col>
                    <xdr:colOff>0</xdr:colOff>
                    <xdr:row>8</xdr:row>
                    <xdr:rowOff>152400</xdr:rowOff>
                  </from>
                  <to>
                    <xdr:col>15</xdr:col>
                    <xdr:colOff>447675</xdr:colOff>
                    <xdr:row>10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Charts</vt:lpstr>
      </vt:variant>
      <vt:variant>
        <vt:i4>1</vt:i4>
      </vt:variant>
    </vt:vector>
  </HeadingPairs>
  <TitlesOfParts>
    <vt:vector size="3" baseType="lpstr">
      <vt:lpstr>JW</vt:lpstr>
      <vt:lpstr>Begin</vt:lpstr>
      <vt:lpstr>EL Chart</vt:lpstr>
    </vt:vector>
  </TitlesOfParts>
  <Company>Toshiba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Tara</dc:creator>
  <cp:lastModifiedBy>Nonika</cp:lastModifiedBy>
  <cp:lastPrinted>2014-12-30T18:09:17Z</cp:lastPrinted>
  <dcterms:created xsi:type="dcterms:W3CDTF">2014-11-18T15:18:04Z</dcterms:created>
  <dcterms:modified xsi:type="dcterms:W3CDTF">2017-12-10T15:51:12Z</dcterms:modified>
</cp:coreProperties>
</file>